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CERNA\control-modulos\src\outputs\comparativo-precios-mercado\"/>
    </mc:Choice>
  </mc:AlternateContent>
  <xr:revisionPtr revIDLastSave="0" documentId="13_ncr:1_{F5BB77EC-66A6-434E-85FF-153DC7428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o" sheetId="1" r:id="rId1"/>
    <sheet name="Notas y fu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" i="1" l="1"/>
</calcChain>
</file>

<file path=xl/sharedStrings.xml><?xml version="1.0" encoding="utf-8"?>
<sst xmlns="http://schemas.openxmlformats.org/spreadsheetml/2006/main" count="200" uniqueCount="120">
  <si>
    <t>Sección</t>
  </si>
  <si>
    <t>Material</t>
  </si>
  <si>
    <t>Precio mercado visto</t>
  </si>
  <si>
    <t>Diferencia aprox.</t>
  </si>
  <si>
    <t>Canalización</t>
  </si>
  <si>
    <t>Ducto Flex/Rig 20mm LH (Incl Acc)</t>
  </si>
  <si>
    <t>110% sobre mercado</t>
  </si>
  <si>
    <t>Ducto Flex/Rig 25mm LH (Incl Acc)</t>
  </si>
  <si>
    <t>128% sobre mercado</t>
  </si>
  <si>
    <t>Ducto Flex/Rig 32mm LH (Incl Acc)</t>
  </si>
  <si>
    <t>277% sobre mercado</t>
  </si>
  <si>
    <t>Caja PVC 100x100x65</t>
  </si>
  <si>
    <t>3% bajo mercado</t>
  </si>
  <si>
    <t>Caja Metálica 100x65x65 / Chuqui</t>
  </si>
  <si>
    <t>6% sobre mercado</t>
  </si>
  <si>
    <t>Caja Metálica 100x100x65</t>
  </si>
  <si>
    <t>39% sobre mercado</t>
  </si>
  <si>
    <t>Caja Tabique 3 Puestos LH</t>
  </si>
  <si>
    <t>0% sobre mercado</t>
  </si>
  <si>
    <t>Tapa Ciega - Plástica / Metálica</t>
  </si>
  <si>
    <t>34% bajo mercado</t>
  </si>
  <si>
    <t>Prensa Estopa 16-21mm</t>
  </si>
  <si>
    <t>14% bajo mercado</t>
  </si>
  <si>
    <t>Cableado</t>
  </si>
  <si>
    <t>Cable RZ1 2,5mm (Alum + Ench)</t>
  </si>
  <si>
    <t>61% bajo mercado</t>
  </si>
  <si>
    <t>Cable RZ1 4mm (Termo)</t>
  </si>
  <si>
    <t>62% bajo mercado</t>
  </si>
  <si>
    <t>Cable RZ1 6mm (Alimentación)</t>
  </si>
  <si>
    <t>65% bajo mercado</t>
  </si>
  <si>
    <t>Cable RZ1 3x2.5 / 4mm (Ilu-Term)</t>
  </si>
  <si>
    <t>26% bajo mercado</t>
  </si>
  <si>
    <t>Cable RZ1 3x6mm (Alimentación)</t>
  </si>
  <si>
    <t>Iluminación básica</t>
  </si>
  <si>
    <t>Ampolleta LED</t>
  </si>
  <si>
    <t>113% sobre mercado</t>
  </si>
  <si>
    <t>Foco Led 12W Sob</t>
  </si>
  <si>
    <t>25% bajo mercado</t>
  </si>
  <si>
    <t>Tubo Led</t>
  </si>
  <si>
    <t>147% sobre mercado</t>
  </si>
  <si>
    <t>Eq. Herm. Led 40w (Tubo/Placa)</t>
  </si>
  <si>
    <t>34% sobre mercado</t>
  </si>
  <si>
    <t>Foco Tortuga Led</t>
  </si>
  <si>
    <t>Accesorios</t>
  </si>
  <si>
    <t>Instalación Extractor</t>
  </si>
  <si>
    <t>Artefactos tableros</t>
  </si>
  <si>
    <t>Artefacto Simple</t>
  </si>
  <si>
    <t>7% bajo mercado</t>
  </si>
  <si>
    <t>Artefacto Doble</t>
  </si>
  <si>
    <t>3% sobre mercado</t>
  </si>
  <si>
    <t>Artefacto Triple</t>
  </si>
  <si>
    <t>10% sobre mercado</t>
  </si>
  <si>
    <t>Tapa Ciega + Soporte</t>
  </si>
  <si>
    <t>Ench Hembra Indep 32A</t>
  </si>
  <si>
    <t>23% sobre mercado</t>
  </si>
  <si>
    <t>Enchufe Mch Indep 32A</t>
  </si>
  <si>
    <t>Tableros</t>
  </si>
  <si>
    <t>Tab. PVC 24-36cc IP44</t>
  </si>
  <si>
    <t>32% sobre mercado</t>
  </si>
  <si>
    <t>Tab. PVC 8-12-18cc IP44</t>
  </si>
  <si>
    <t>18% sobre mercado</t>
  </si>
  <si>
    <t>Tablero PVC IP65</t>
  </si>
  <si>
    <t>19% sobre mercado</t>
  </si>
  <si>
    <t>Inst Tab. TOP (Armado)</t>
  </si>
  <si>
    <t>Aut. Monof 10-16-20A</t>
  </si>
  <si>
    <t>Auto. Bifásico 2x10A</t>
  </si>
  <si>
    <t>4% sobre mercado</t>
  </si>
  <si>
    <t>Auto. Bifásico 2x16A</t>
  </si>
  <si>
    <t>1% bajo mercado</t>
  </si>
  <si>
    <t>Auto. Bifásico 2x20A</t>
  </si>
  <si>
    <t>5% sobre mercado</t>
  </si>
  <si>
    <t>Auto. Bifásico 2x25-32A</t>
  </si>
  <si>
    <t>6% bajo mercado</t>
  </si>
  <si>
    <t>Diferencial 2x25A</t>
  </si>
  <si>
    <t>Diferencial 2x40A</t>
  </si>
  <si>
    <t>31% sobre mercado</t>
  </si>
  <si>
    <t>Porta Fusibles</t>
  </si>
  <si>
    <t>Luz Piloto</t>
  </si>
  <si>
    <t>Barra Monofásica 4cto</t>
  </si>
  <si>
    <t>Repartidor 4x80A</t>
  </si>
  <si>
    <t>Falso Polo 1Mts</t>
  </si>
  <si>
    <t>Moldura plástica</t>
  </si>
  <si>
    <t>Mold Bca C/T 20x10 x 2mt + Acces</t>
  </si>
  <si>
    <t>Bandeja plástica</t>
  </si>
  <si>
    <t>BPC LH 100x45 + Acces</t>
  </si>
  <si>
    <t>Tapa Idrobox IP55</t>
  </si>
  <si>
    <t>Eq. iluminación</t>
  </si>
  <si>
    <t>Foco Sobrep LED 18W</t>
  </si>
  <si>
    <t>Panel Led 600x600mm</t>
  </si>
  <si>
    <t>Accesorio Mtaje Panel Led</t>
  </si>
  <si>
    <t>Foco Sobrep LED 24W</t>
  </si>
  <si>
    <t>Canalización-Cableado-SPT</t>
  </si>
  <si>
    <t>Tub Flexible Metálica c/acces</t>
  </si>
  <si>
    <t>15% bajo mercado</t>
  </si>
  <si>
    <t>Tubería EMT c/accesorio</t>
  </si>
  <si>
    <t>Caja Chuqui PVC</t>
  </si>
  <si>
    <t>Int. Difer. Legrand 2x10A 10mA</t>
  </si>
  <si>
    <t>Int. Difer. Legrand 2x16A 10mA</t>
  </si>
  <si>
    <t>Cordón Flex 3x18 AWG</t>
  </si>
  <si>
    <t>Cable RZ-1 3x1.5mm2</t>
  </si>
  <si>
    <t>Cable RZ-1 5x4mm2</t>
  </si>
  <si>
    <t>SPT</t>
  </si>
  <si>
    <t>Barra Coperw 5/8 Inc. Con</t>
  </si>
  <si>
    <t>Camarilla Registro PVC</t>
  </si>
  <si>
    <t>Tema</t>
  </si>
  <si>
    <t>Detalle</t>
  </si>
  <si>
    <t>Alcance</t>
  </si>
  <si>
    <t>Comparativo referencial, no cotización formal.</t>
  </si>
  <si>
    <t>Criterio</t>
  </si>
  <si>
    <t>Se compara contra precios públicos vistos en mercado chileno; algunos productos pueden variar por marca, certificación, formato de venta o accesorios incluidos.</t>
  </si>
  <si>
    <t>Fuente</t>
  </si>
  <si>
    <t>MercadoLibre Chile</t>
  </si>
  <si>
    <t>Distrito Eléctrico</t>
  </si>
  <si>
    <t>Dartel</t>
  </si>
  <si>
    <t>Ferrelectrica / Guzmán / Rhona</t>
  </si>
  <si>
    <t>Sodimac / IKEA / Jumbo / LedLight Chile</t>
  </si>
  <si>
    <t>Comparativo precio rental vs mercado</t>
  </si>
  <si>
    <t>Precio rental</t>
  </si>
  <si>
    <t>sin referencia</t>
  </si>
  <si>
    <t>Revisión referencial basada en el catálogo base. Fecha: 28-07-2026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</si>
</sst>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37415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NumberFormat="1" applyFont="1" applyFill="1" applyBorder="1"/>
    <xf numFmtId="0" fontId="0" fillId="0" borderId="1" xfId="0" applyNumberFormat="1" applyFont="1" applyFill="1" applyBorder="1"/>
    <xf numFmtId="0" fontId="4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3" fillId="4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NumberFormat="1" applyFont="1" applyFill="1" applyBorder="1" applyAlignment="1">
      <alignment wrapText="1"/>
    </xf>
    <xf numFmtId="0" fontId="4" fillId="5" borderId="1" xfId="0" applyNumberFormat="1" applyFont="1" applyFill="1" applyBorder="1"/>
    <xf numFmtId="0" fontId="0" fillId="5" borderId="1" xfId="0" applyNumberFormat="1" applyFont="1" applyFill="1" applyBorder="1"/>
    <xf numFmtId="164" fontId="0" fillId="5" borderId="1" xfId="0" applyNumberFormat="1" applyFont="1" applyFill="1" applyBorder="1" applyAlignment="1">
      <alignment horizontal="center"/>
    </xf>
    <xf numFmtId="0" fontId="4" fillId="6" borderId="1" xfId="0" applyNumberFormat="1" applyFont="1" applyFill="1" applyBorder="1"/>
    <xf numFmtId="0" fontId="0" fillId="6" borderId="1" xfId="0" applyNumberFormat="1" applyFont="1" applyFill="1" applyBorder="1"/>
    <xf numFmtId="164" fontId="0" fillId="6" borderId="1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wrapText="1"/>
    </xf>
    <xf numFmtId="0" fontId="4" fillId="7" borderId="1" xfId="0" applyNumberFormat="1" applyFont="1" applyFill="1" applyBorder="1"/>
    <xf numFmtId="0" fontId="0" fillId="7" borderId="1" xfId="0" applyNumberFormat="1" applyFont="1" applyFill="1" applyBorder="1"/>
    <xf numFmtId="164" fontId="0" fillId="7" borderId="1" xfId="0" applyNumberFormat="1" applyFont="1" applyFill="1" applyBorder="1" applyAlignment="1">
      <alignment horizontal="center"/>
    </xf>
    <xf numFmtId="0" fontId="0" fillId="7" borderId="1" xfId="0" applyNumberFormat="1" applyFont="1" applyFill="1" applyBorder="1" applyAlignment="1">
      <alignment wrapText="1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ativoPrecios" displayName="ComparativoPrecios" ref="A4:E63" totalsRowShown="0">
  <autoFilter ref="A4:E63" xr:uid="{00000000-0009-0000-0100-000001000000}"/>
  <tableColumns count="5">
    <tableColumn id="1" xr3:uid="{00000000-0010-0000-0000-000001000000}" name="Sección"/>
    <tableColumn id="2" xr3:uid="{00000000-0010-0000-0000-000002000000}" name="Material"/>
    <tableColumn id="3" xr3:uid="{00000000-0010-0000-0000-000003000000}" name="Precio rental" dataDxfId="0"/>
    <tableColumn id="4" xr3:uid="{00000000-0010-0000-0000-000004000000}" name="Precio mercado visto" dataDxfId="1"/>
    <tableColumn id="5" xr3:uid="{00000000-0010-0000-0000-000005000000}" name="Diferencia aprox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"/>
  <sheetViews>
    <sheetView showGridLines="0" tabSelected="1" workbookViewId="0">
      <selection activeCell="D21" sqref="D21"/>
    </sheetView>
  </sheetViews>
  <sheetFormatPr baseColWidth="10" defaultColWidth="8.796875" defaultRowHeight="13.8"/>
  <cols>
    <col min="1" max="1" width="25" customWidth="1"/>
    <col min="2" max="2" width="44" customWidth="1"/>
    <col min="3" max="3" width="18" style="10" customWidth="1"/>
    <col min="4" max="4" width="22.796875" style="10" customWidth="1"/>
    <col min="5" max="5" width="28" customWidth="1"/>
  </cols>
  <sheetData>
    <row r="1" spans="1:5" ht="21">
      <c r="A1" s="6" t="s">
        <v>116</v>
      </c>
      <c r="B1" s="6"/>
      <c r="C1" s="6"/>
      <c r="D1" s="6"/>
      <c r="E1" s="6"/>
    </row>
    <row r="2" spans="1:5" ht="14.4">
      <c r="A2" s="7" t="s">
        <v>119</v>
      </c>
      <c r="B2" s="7"/>
      <c r="C2" s="7"/>
      <c r="D2" s="7"/>
      <c r="E2" s="7"/>
    </row>
    <row r="4" spans="1:5">
      <c r="A4" s="1" t="s">
        <v>0</v>
      </c>
      <c r="B4" s="1" t="s">
        <v>1</v>
      </c>
      <c r="C4" s="8" t="s">
        <v>117</v>
      </c>
      <c r="D4" s="8" t="s">
        <v>2</v>
      </c>
      <c r="E4" s="1" t="s">
        <v>3</v>
      </c>
    </row>
    <row r="5" spans="1:5">
      <c r="A5" s="19" t="s">
        <v>4</v>
      </c>
      <c r="B5" s="20" t="s">
        <v>5</v>
      </c>
      <c r="C5" s="21">
        <v>1932</v>
      </c>
      <c r="D5" s="21">
        <v>920</v>
      </c>
      <c r="E5" s="22" t="s">
        <v>6</v>
      </c>
    </row>
    <row r="6" spans="1:5">
      <c r="A6" s="19" t="s">
        <v>4</v>
      </c>
      <c r="B6" s="20" t="s">
        <v>7</v>
      </c>
      <c r="C6" s="21">
        <v>2782</v>
      </c>
      <c r="D6" s="21">
        <v>1220</v>
      </c>
      <c r="E6" s="22" t="s">
        <v>8</v>
      </c>
    </row>
    <row r="7" spans="1:5">
      <c r="A7" s="19" t="s">
        <v>4</v>
      </c>
      <c r="B7" s="20" t="s">
        <v>9</v>
      </c>
      <c r="C7" s="21">
        <v>3744</v>
      </c>
      <c r="D7" s="21">
        <v>993</v>
      </c>
      <c r="E7" s="22" t="s">
        <v>10</v>
      </c>
    </row>
    <row r="8" spans="1:5">
      <c r="A8" s="12" t="s">
        <v>4</v>
      </c>
      <c r="B8" s="13" t="s">
        <v>11</v>
      </c>
      <c r="C8" s="14">
        <v>2377</v>
      </c>
      <c r="D8" s="14">
        <v>2451</v>
      </c>
      <c r="E8" s="11" t="s">
        <v>12</v>
      </c>
    </row>
    <row r="9" spans="1:5">
      <c r="A9" s="3" t="s">
        <v>4</v>
      </c>
      <c r="B9" s="2" t="s">
        <v>13</v>
      </c>
      <c r="C9" s="9">
        <v>2378</v>
      </c>
      <c r="D9" s="9">
        <v>2240</v>
      </c>
      <c r="E9" s="4" t="s">
        <v>14</v>
      </c>
    </row>
    <row r="10" spans="1:5">
      <c r="A10" s="19" t="s">
        <v>4</v>
      </c>
      <c r="B10" s="20" t="s">
        <v>15</v>
      </c>
      <c r="C10" s="21">
        <v>3120</v>
      </c>
      <c r="D10" s="21">
        <v>2240</v>
      </c>
      <c r="E10" s="22" t="s">
        <v>16</v>
      </c>
    </row>
    <row r="11" spans="1:5">
      <c r="A11" s="12" t="s">
        <v>4</v>
      </c>
      <c r="B11" s="13" t="s">
        <v>17</v>
      </c>
      <c r="C11" s="14">
        <v>1900</v>
      </c>
      <c r="D11" s="14">
        <v>1900</v>
      </c>
      <c r="E11" s="11" t="s">
        <v>18</v>
      </c>
    </row>
    <row r="12" spans="1:5">
      <c r="A12" s="15" t="s">
        <v>4</v>
      </c>
      <c r="B12" s="16" t="s">
        <v>19</v>
      </c>
      <c r="C12" s="17">
        <v>480</v>
      </c>
      <c r="D12" s="17">
        <v>722</v>
      </c>
      <c r="E12" s="18" t="s">
        <v>20</v>
      </c>
    </row>
    <row r="13" spans="1:5">
      <c r="A13" s="15" t="s">
        <v>4</v>
      </c>
      <c r="B13" s="16" t="s">
        <v>21</v>
      </c>
      <c r="C13" s="17">
        <v>1458</v>
      </c>
      <c r="D13" s="17">
        <v>1690</v>
      </c>
      <c r="E13" s="18" t="s">
        <v>22</v>
      </c>
    </row>
    <row r="14" spans="1:5">
      <c r="A14" s="15" t="s">
        <v>23</v>
      </c>
      <c r="B14" s="16" t="s">
        <v>24</v>
      </c>
      <c r="C14" s="17">
        <v>353</v>
      </c>
      <c r="D14" s="17">
        <v>900</v>
      </c>
      <c r="E14" s="18" t="s">
        <v>25</v>
      </c>
    </row>
    <row r="15" spans="1:5">
      <c r="A15" s="15" t="s">
        <v>23</v>
      </c>
      <c r="B15" s="16" t="s">
        <v>26</v>
      </c>
      <c r="C15" s="17">
        <v>493</v>
      </c>
      <c r="D15" s="17">
        <v>1312</v>
      </c>
      <c r="E15" s="18" t="s">
        <v>27</v>
      </c>
    </row>
    <row r="16" spans="1:5">
      <c r="A16" s="15" t="s">
        <v>23</v>
      </c>
      <c r="B16" s="16" t="s">
        <v>28</v>
      </c>
      <c r="C16" s="17">
        <v>710</v>
      </c>
      <c r="D16" s="17">
        <v>2050</v>
      </c>
      <c r="E16" s="18" t="s">
        <v>29</v>
      </c>
    </row>
    <row r="17" spans="1:5">
      <c r="A17" s="15" t="s">
        <v>23</v>
      </c>
      <c r="B17" s="16" t="s">
        <v>30</v>
      </c>
      <c r="C17" s="17">
        <v>2872</v>
      </c>
      <c r="D17" s="17">
        <v>3900</v>
      </c>
      <c r="E17" s="18" t="s">
        <v>31</v>
      </c>
    </row>
    <row r="18" spans="1:5">
      <c r="A18" s="15" t="s">
        <v>23</v>
      </c>
      <c r="B18" s="16" t="s">
        <v>32</v>
      </c>
      <c r="C18" s="17">
        <v>3460</v>
      </c>
      <c r="D18" s="17">
        <v>8874</v>
      </c>
      <c r="E18" s="18" t="s">
        <v>25</v>
      </c>
    </row>
    <row r="19" spans="1:5">
      <c r="A19" s="19" t="s">
        <v>33</v>
      </c>
      <c r="B19" s="20" t="s">
        <v>34</v>
      </c>
      <c r="C19" s="21">
        <v>3180</v>
      </c>
      <c r="D19" s="21">
        <v>1490</v>
      </c>
      <c r="E19" s="22" t="s">
        <v>35</v>
      </c>
    </row>
    <row r="20" spans="1:5">
      <c r="A20" s="15" t="s">
        <v>33</v>
      </c>
      <c r="B20" s="16" t="s">
        <v>36</v>
      </c>
      <c r="C20" s="17">
        <v>6702</v>
      </c>
      <c r="D20" s="17">
        <v>8940</v>
      </c>
      <c r="E20" s="18" t="s">
        <v>37</v>
      </c>
    </row>
    <row r="21" spans="1:5">
      <c r="A21" s="19" t="s">
        <v>33</v>
      </c>
      <c r="B21" s="20" t="s">
        <v>38</v>
      </c>
      <c r="C21" s="21">
        <v>3180</v>
      </c>
      <c r="D21" s="21">
        <v>1290</v>
      </c>
      <c r="E21" s="22" t="s">
        <v>39</v>
      </c>
    </row>
    <row r="22" spans="1:5">
      <c r="A22" s="19" t="s">
        <v>33</v>
      </c>
      <c r="B22" s="20" t="s">
        <v>40</v>
      </c>
      <c r="C22" s="21">
        <v>18559</v>
      </c>
      <c r="D22" s="21">
        <v>13900</v>
      </c>
      <c r="E22" s="22" t="s">
        <v>41</v>
      </c>
    </row>
    <row r="23" spans="1:5">
      <c r="A23" s="3" t="s">
        <v>33</v>
      </c>
      <c r="B23" s="2" t="s">
        <v>42</v>
      </c>
      <c r="C23" s="9">
        <v>7733</v>
      </c>
      <c r="D23" s="9">
        <v>7733</v>
      </c>
      <c r="E23" s="4" t="s">
        <v>18</v>
      </c>
    </row>
    <row r="24" spans="1:5">
      <c r="A24" s="3" t="s">
        <v>43</v>
      </c>
      <c r="B24" s="2" t="s">
        <v>44</v>
      </c>
      <c r="C24" s="9">
        <v>3500</v>
      </c>
      <c r="D24" s="9" t="s">
        <v>118</v>
      </c>
      <c r="E24" s="4"/>
    </row>
    <row r="25" spans="1:5">
      <c r="A25" s="12" t="s">
        <v>45</v>
      </c>
      <c r="B25" s="13" t="s">
        <v>46</v>
      </c>
      <c r="C25" s="14">
        <v>1856</v>
      </c>
      <c r="D25" s="14">
        <v>2000</v>
      </c>
      <c r="E25" s="11" t="s">
        <v>47</v>
      </c>
    </row>
    <row r="26" spans="1:5">
      <c r="A26" s="3" t="s">
        <v>45</v>
      </c>
      <c r="B26" s="2" t="s">
        <v>48</v>
      </c>
      <c r="C26" s="9">
        <v>2578</v>
      </c>
      <c r="D26" s="9">
        <v>2500</v>
      </c>
      <c r="E26" s="4" t="s">
        <v>49</v>
      </c>
    </row>
    <row r="27" spans="1:5">
      <c r="A27" s="19" t="s">
        <v>45</v>
      </c>
      <c r="B27" s="20" t="s">
        <v>50</v>
      </c>
      <c r="C27" s="21">
        <v>3299</v>
      </c>
      <c r="D27" s="21">
        <v>3000</v>
      </c>
      <c r="E27" s="22" t="s">
        <v>51</v>
      </c>
    </row>
    <row r="28" spans="1:5">
      <c r="A28" s="3" t="s">
        <v>45</v>
      </c>
      <c r="B28" s="2" t="s">
        <v>52</v>
      </c>
      <c r="C28" s="9">
        <v>722</v>
      </c>
      <c r="D28" s="9">
        <v>722</v>
      </c>
      <c r="E28" s="4" t="s">
        <v>18</v>
      </c>
    </row>
    <row r="29" spans="1:5">
      <c r="A29" s="19" t="s">
        <v>45</v>
      </c>
      <c r="B29" s="20" t="s">
        <v>53</v>
      </c>
      <c r="C29" s="21">
        <v>5639</v>
      </c>
      <c r="D29" s="21">
        <v>4590</v>
      </c>
      <c r="E29" s="22" t="s">
        <v>54</v>
      </c>
    </row>
    <row r="30" spans="1:5">
      <c r="A30" s="12" t="s">
        <v>45</v>
      </c>
      <c r="B30" s="13" t="s">
        <v>55</v>
      </c>
      <c r="C30" s="14">
        <v>9250</v>
      </c>
      <c r="D30" s="14">
        <v>9990</v>
      </c>
      <c r="E30" s="11" t="s">
        <v>47</v>
      </c>
    </row>
    <row r="31" spans="1:5">
      <c r="A31" s="19" t="s">
        <v>56</v>
      </c>
      <c r="B31" s="20" t="s">
        <v>57</v>
      </c>
      <c r="C31" s="21">
        <v>25300</v>
      </c>
      <c r="D31" s="21">
        <v>19216</v>
      </c>
      <c r="E31" s="22" t="s">
        <v>58</v>
      </c>
    </row>
    <row r="32" spans="1:5">
      <c r="A32" s="19" t="s">
        <v>56</v>
      </c>
      <c r="B32" s="20" t="s">
        <v>59</v>
      </c>
      <c r="C32" s="21">
        <v>17279</v>
      </c>
      <c r="D32" s="21">
        <v>14596</v>
      </c>
      <c r="E32" s="22" t="s">
        <v>60</v>
      </c>
    </row>
    <row r="33" spans="1:5">
      <c r="A33" s="19" t="s">
        <v>56</v>
      </c>
      <c r="B33" s="20" t="s">
        <v>61</v>
      </c>
      <c r="C33" s="21">
        <v>56279</v>
      </c>
      <c r="D33" s="21">
        <v>47156</v>
      </c>
      <c r="E33" s="22" t="s">
        <v>62</v>
      </c>
    </row>
    <row r="34" spans="1:5">
      <c r="A34" s="3" t="s">
        <v>56</v>
      </c>
      <c r="B34" s="2" t="s">
        <v>63</v>
      </c>
      <c r="C34" s="9">
        <v>70000</v>
      </c>
      <c r="D34" s="9" t="s">
        <v>118</v>
      </c>
      <c r="E34" s="4"/>
    </row>
    <row r="35" spans="1:5">
      <c r="A35" s="15" t="s">
        <v>56</v>
      </c>
      <c r="B35" s="16" t="s">
        <v>64</v>
      </c>
      <c r="C35" s="17">
        <v>2578</v>
      </c>
      <c r="D35" s="17">
        <v>2990</v>
      </c>
      <c r="E35" s="18" t="s">
        <v>22</v>
      </c>
    </row>
    <row r="36" spans="1:5">
      <c r="A36" s="3" t="s">
        <v>56</v>
      </c>
      <c r="B36" s="2" t="s">
        <v>65</v>
      </c>
      <c r="C36" s="9">
        <v>6740</v>
      </c>
      <c r="D36" s="9">
        <v>6500</v>
      </c>
      <c r="E36" s="4" t="s">
        <v>66</v>
      </c>
    </row>
    <row r="37" spans="1:5">
      <c r="A37" s="12" t="s">
        <v>56</v>
      </c>
      <c r="B37" s="13" t="s">
        <v>67</v>
      </c>
      <c r="C37" s="14">
        <v>6950</v>
      </c>
      <c r="D37" s="14">
        <v>6990</v>
      </c>
      <c r="E37" s="11" t="s">
        <v>68</v>
      </c>
    </row>
    <row r="38" spans="1:5">
      <c r="A38" s="3" t="s">
        <v>56</v>
      </c>
      <c r="B38" s="2" t="s">
        <v>69</v>
      </c>
      <c r="C38" s="9">
        <v>7308</v>
      </c>
      <c r="D38" s="9">
        <v>6990</v>
      </c>
      <c r="E38" s="4" t="s">
        <v>70</v>
      </c>
    </row>
    <row r="39" spans="1:5">
      <c r="A39" s="12" t="s">
        <v>56</v>
      </c>
      <c r="B39" s="13" t="s">
        <v>71</v>
      </c>
      <c r="C39" s="14">
        <v>8450</v>
      </c>
      <c r="D39" s="14">
        <v>8990</v>
      </c>
      <c r="E39" s="11" t="s">
        <v>72</v>
      </c>
    </row>
    <row r="40" spans="1:5">
      <c r="A40" s="12" t="s">
        <v>56</v>
      </c>
      <c r="B40" s="13" t="s">
        <v>73</v>
      </c>
      <c r="C40" s="14">
        <v>8673</v>
      </c>
      <c r="D40" s="14">
        <v>8922</v>
      </c>
      <c r="E40" s="11" t="s">
        <v>12</v>
      </c>
    </row>
    <row r="41" spans="1:5">
      <c r="A41" s="19" t="s">
        <v>56</v>
      </c>
      <c r="B41" s="20" t="s">
        <v>74</v>
      </c>
      <c r="C41" s="21">
        <v>13520</v>
      </c>
      <c r="D41" s="21">
        <v>10300</v>
      </c>
      <c r="E41" s="22" t="s">
        <v>75</v>
      </c>
    </row>
    <row r="42" spans="1:5">
      <c r="A42" s="3" t="s">
        <v>56</v>
      </c>
      <c r="B42" s="2" t="s">
        <v>76</v>
      </c>
      <c r="C42" s="9">
        <v>1850</v>
      </c>
      <c r="D42" s="9">
        <v>1850</v>
      </c>
      <c r="E42" s="4" t="s">
        <v>18</v>
      </c>
    </row>
    <row r="43" spans="1:5">
      <c r="A43" s="3" t="s">
        <v>56</v>
      </c>
      <c r="B43" s="2" t="s">
        <v>77</v>
      </c>
      <c r="C43" s="9">
        <v>2100</v>
      </c>
      <c r="D43" s="9">
        <v>2100</v>
      </c>
      <c r="E43" s="4" t="s">
        <v>18</v>
      </c>
    </row>
    <row r="44" spans="1:5">
      <c r="A44" s="3" t="s">
        <v>56</v>
      </c>
      <c r="B44" s="2" t="s">
        <v>78</v>
      </c>
      <c r="C44" s="9">
        <v>1577</v>
      </c>
      <c r="D44" s="9">
        <v>1577</v>
      </c>
      <c r="E44" s="4" t="s">
        <v>18</v>
      </c>
    </row>
    <row r="45" spans="1:5">
      <c r="A45" s="3" t="s">
        <v>56</v>
      </c>
      <c r="B45" s="2" t="s">
        <v>79</v>
      </c>
      <c r="C45" s="9">
        <v>4200</v>
      </c>
      <c r="D45" s="9">
        <v>4200</v>
      </c>
      <c r="E45" s="4" t="s">
        <v>18</v>
      </c>
    </row>
    <row r="46" spans="1:5">
      <c r="A46" s="3" t="s">
        <v>56</v>
      </c>
      <c r="B46" s="2" t="s">
        <v>80</v>
      </c>
      <c r="C46" s="9">
        <v>1237</v>
      </c>
      <c r="D46" s="9">
        <v>1237</v>
      </c>
      <c r="E46" s="4" t="s">
        <v>18</v>
      </c>
    </row>
    <row r="47" spans="1:5">
      <c r="A47" s="3" t="s">
        <v>81</v>
      </c>
      <c r="B47" s="2" t="s">
        <v>82</v>
      </c>
      <c r="C47" s="9">
        <v>2000</v>
      </c>
      <c r="D47" s="9">
        <v>2000</v>
      </c>
      <c r="E47" s="4" t="s">
        <v>18</v>
      </c>
    </row>
    <row r="48" spans="1:5">
      <c r="A48" s="3" t="s">
        <v>83</v>
      </c>
      <c r="B48" s="2" t="s">
        <v>84</v>
      </c>
      <c r="C48" s="9">
        <v>25200</v>
      </c>
      <c r="D48" s="9">
        <v>25200</v>
      </c>
      <c r="E48" s="4" t="s">
        <v>18</v>
      </c>
    </row>
    <row r="49" spans="1:5">
      <c r="A49" s="3" t="s">
        <v>83</v>
      </c>
      <c r="B49" s="2" t="s">
        <v>85</v>
      </c>
      <c r="C49" s="9">
        <v>11033</v>
      </c>
      <c r="D49" s="9">
        <v>11033</v>
      </c>
      <c r="E49" s="4" t="s">
        <v>18</v>
      </c>
    </row>
    <row r="50" spans="1:5">
      <c r="A50" s="3" t="s">
        <v>86</v>
      </c>
      <c r="B50" s="2" t="s">
        <v>87</v>
      </c>
      <c r="C50" s="9">
        <v>8940</v>
      </c>
      <c r="D50" s="9">
        <v>8940</v>
      </c>
      <c r="E50" s="4" t="s">
        <v>18</v>
      </c>
    </row>
    <row r="51" spans="1:5">
      <c r="A51" s="3" t="s">
        <v>86</v>
      </c>
      <c r="B51" s="2" t="s">
        <v>88</v>
      </c>
      <c r="C51" s="9">
        <f>26700+15200</f>
        <v>41900</v>
      </c>
      <c r="D51" s="9">
        <v>39990</v>
      </c>
      <c r="E51" s="4" t="s">
        <v>66</v>
      </c>
    </row>
    <row r="52" spans="1:5">
      <c r="A52" s="3" t="s">
        <v>86</v>
      </c>
      <c r="B52" s="2" t="s">
        <v>89</v>
      </c>
      <c r="C52" s="9">
        <v>15200</v>
      </c>
      <c r="D52" s="9">
        <v>15200</v>
      </c>
      <c r="E52" s="4" t="s">
        <v>18</v>
      </c>
    </row>
    <row r="53" spans="1:5">
      <c r="A53" s="3" t="s">
        <v>86</v>
      </c>
      <c r="B53" s="2" t="s">
        <v>90</v>
      </c>
      <c r="C53" s="9">
        <v>14320</v>
      </c>
      <c r="D53" s="9">
        <v>14320</v>
      </c>
      <c r="E53" s="4" t="s">
        <v>18</v>
      </c>
    </row>
    <row r="54" spans="1:5">
      <c r="A54" s="12" t="s">
        <v>91</v>
      </c>
      <c r="B54" s="13" t="s">
        <v>92</v>
      </c>
      <c r="C54" s="14">
        <v>3390</v>
      </c>
      <c r="D54" s="14">
        <v>3990</v>
      </c>
      <c r="E54" s="11" t="s">
        <v>93</v>
      </c>
    </row>
    <row r="55" spans="1:5">
      <c r="A55" s="3" t="s">
        <v>91</v>
      </c>
      <c r="B55" s="2" t="s">
        <v>94</v>
      </c>
      <c r="C55" s="9">
        <v>3900</v>
      </c>
      <c r="D55" s="9">
        <v>3900</v>
      </c>
      <c r="E55" s="4" t="s">
        <v>18</v>
      </c>
    </row>
    <row r="56" spans="1:5">
      <c r="A56" s="3" t="s">
        <v>91</v>
      </c>
      <c r="B56" s="2" t="s">
        <v>95</v>
      </c>
      <c r="C56" s="9">
        <v>1200</v>
      </c>
      <c r="D56" s="9">
        <v>1200</v>
      </c>
      <c r="E56" s="4" t="s">
        <v>18</v>
      </c>
    </row>
    <row r="57" spans="1:5">
      <c r="A57" s="3" t="s">
        <v>91</v>
      </c>
      <c r="B57" s="2" t="s">
        <v>96</v>
      </c>
      <c r="C57" s="9">
        <v>102500</v>
      </c>
      <c r="D57" s="9">
        <v>102500</v>
      </c>
      <c r="E57" s="4" t="s">
        <v>18</v>
      </c>
    </row>
    <row r="58" spans="1:5">
      <c r="A58" s="3" t="s">
        <v>91</v>
      </c>
      <c r="B58" s="2" t="s">
        <v>97</v>
      </c>
      <c r="C58" s="9">
        <v>24200</v>
      </c>
      <c r="D58" s="9">
        <v>24200</v>
      </c>
      <c r="E58" s="4" t="s">
        <v>18</v>
      </c>
    </row>
    <row r="59" spans="1:5">
      <c r="A59" s="3" t="s">
        <v>91</v>
      </c>
      <c r="B59" s="2" t="s">
        <v>98</v>
      </c>
      <c r="C59" s="9">
        <v>919</v>
      </c>
      <c r="D59" s="9">
        <v>919</v>
      </c>
      <c r="E59" s="4" t="s">
        <v>18</v>
      </c>
    </row>
    <row r="60" spans="1:5">
      <c r="A60" s="3" t="s">
        <v>91</v>
      </c>
      <c r="B60" s="2" t="s">
        <v>99</v>
      </c>
      <c r="C60" s="9">
        <v>1658</v>
      </c>
      <c r="D60" s="9">
        <v>1658</v>
      </c>
      <c r="E60" s="4" t="s">
        <v>18</v>
      </c>
    </row>
    <row r="61" spans="1:5">
      <c r="A61" s="3" t="s">
        <v>91</v>
      </c>
      <c r="B61" s="2" t="s">
        <v>100</v>
      </c>
      <c r="C61" s="9">
        <v>4620</v>
      </c>
      <c r="D61" s="9">
        <v>4620</v>
      </c>
      <c r="E61" s="4" t="s">
        <v>18</v>
      </c>
    </row>
    <row r="62" spans="1:5">
      <c r="A62" s="3" t="s">
        <v>101</v>
      </c>
      <c r="B62" s="2" t="s">
        <v>102</v>
      </c>
      <c r="C62" s="9">
        <v>12540</v>
      </c>
      <c r="D62" s="9">
        <v>12540</v>
      </c>
      <c r="E62" s="4" t="s">
        <v>18</v>
      </c>
    </row>
    <row r="63" spans="1:5">
      <c r="A63" s="3" t="s">
        <v>101</v>
      </c>
      <c r="B63" s="2" t="s">
        <v>103</v>
      </c>
      <c r="C63" s="9">
        <v>5600</v>
      </c>
      <c r="D63" s="9">
        <v>5600</v>
      </c>
      <c r="E63" s="4" t="s">
        <v>18</v>
      </c>
    </row>
  </sheetData>
  <mergeCells count="2">
    <mergeCell ref="A1:E1"/>
    <mergeCell ref="A2:E2"/>
  </mergeCells>
  <pageMargins left="0.7" right="0.7" top="0.75" bottom="0.75" header="0.3" footer="0.3"/>
  <pageSetup scale="80" fitToHeight="0" orientation="landscape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baseColWidth="10" defaultColWidth="8.796875" defaultRowHeight="13.8"/>
  <cols>
    <col min="1" max="1" width="34" customWidth="1"/>
    <col min="2" max="2" width="100" customWidth="1"/>
  </cols>
  <sheetData>
    <row r="1" spans="1:2">
      <c r="A1" s="1" t="s">
        <v>104</v>
      </c>
      <c r="B1" s="5" t="s">
        <v>105</v>
      </c>
    </row>
    <row r="2" spans="1:2">
      <c r="A2" s="2" t="s">
        <v>106</v>
      </c>
      <c r="B2" s="2" t="s">
        <v>107</v>
      </c>
    </row>
    <row r="3" spans="1:2">
      <c r="A3" s="2" t="s">
        <v>108</v>
      </c>
      <c r="B3" s="2" t="s">
        <v>109</v>
      </c>
    </row>
    <row r="4" spans="1:2">
      <c r="A4" s="2" t="s">
        <v>110</v>
      </c>
      <c r="B4" s="2" t="s">
        <v>111</v>
      </c>
    </row>
    <row r="5" spans="1:2">
      <c r="A5" s="2" t="s">
        <v>110</v>
      </c>
      <c r="B5" s="2" t="s">
        <v>112</v>
      </c>
    </row>
    <row r="6" spans="1:2">
      <c r="A6" s="2" t="s">
        <v>110</v>
      </c>
      <c r="B6" s="2" t="s">
        <v>113</v>
      </c>
    </row>
    <row r="7" spans="1:2">
      <c r="A7" s="2" t="s">
        <v>110</v>
      </c>
      <c r="B7" s="2" t="s">
        <v>114</v>
      </c>
    </row>
    <row r="8" spans="1:2">
      <c r="A8" s="2" t="s">
        <v>110</v>
      </c>
      <c r="B8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Comparativo</vt:lpstr>
      <vt:lpstr>Notas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cerna</cp:lastModifiedBy>
  <cp:lastPrinted>2026-07-28T14:38:46Z</cp:lastPrinted>
  <dcterms:modified xsi:type="dcterms:W3CDTF">2026-07-28T14:48:51Z</dcterms:modified>
</cp:coreProperties>
</file>